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Engr Victor Jones\Downloads\SQL PROJECTS\EXCEL WORKSHEETS\"/>
    </mc:Choice>
  </mc:AlternateContent>
  <xr:revisionPtr revIDLastSave="0" documentId="13_ncr:1_{00044A93-EB14-47E0-B332-E6FA6CD955D6}"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sheet" sheetId="2" r:id="rId2"/>
    <sheet name="Pivot Table" sheetId="3" r:id="rId3"/>
    <sheet name="Dashboard" sheetId="7" r:id="rId4"/>
  </sheets>
  <definedNames>
    <definedName name="_xlnm._FilterDatabase" localSheetId="0" hidden="1">bike_buyers!$A$1:$M$1027</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<sst xmlns="http://schemas.openxmlformats.org/spreadsheetml/2006/main" count="16267" uniqueCount="51">
  <si>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</si>
  <si>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</si>
  <si>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</si>
  <si>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</si>
  <si>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</si>
  <si>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</si>
  <si>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</si>
  <si>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</si>
  <si>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</si>
  <si>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</si>
  <si>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</si>
  <si>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</si>
  <si>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</si>
  <si>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</si>
  <si>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</si>
  <si>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</si>
  <si>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</si>
  <si>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</si>
  <si>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</si>
  <si>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</si>
  <si>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</si>
  <si>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</si>
  <si>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</si>
  <si>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</si>
  <si>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</si>
  <si>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</si>
  <si>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</si>
  <si>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</si>
  <si>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</si>
  <si>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</si>
  <si>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</si>
  <si>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</si>
  <si>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</si>
  <si>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</si>
  <si>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</si>
  <si>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</si>
  <si>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</si>
  <si>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</si>
  <si>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</si>
  <si>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</si>
  <si>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</si>
  <si>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</si>
  <si>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</si>
  <si>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</si>
  <si>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</si>
  <si>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</si>
  <si>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Adolescent</t>
  </si>
  <si>
    <t>Old</t>
  </si>
  <si>
    <t>More Than 10 Miles</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</si>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</sst>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409]#,##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80833.333333333328</c:v>
                </c:pt>
                <c:pt idx="1">
                  <c:v>72500</c:v>
                </c:pt>
              </c:numCache>
            </c:numRef>
          </c:val>
          <c:extLst>
            <c:ext xmlns:c16="http://schemas.microsoft.com/office/drawing/2014/chart" uri="{C3380CC4-5D6E-409C-BE32-E72D297353CC}">
              <c16:uniqueId val="{00000000-677E-4335-A459-47E90F2C859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60000</c:v>
                </c:pt>
                <c:pt idx="1">
                  <c:v>66500</c:v>
                </c:pt>
              </c:numCache>
            </c:numRef>
          </c:val>
          <c:extLst>
            <c:ext xmlns:c16="http://schemas.microsoft.com/office/drawing/2014/chart" uri="{C3380CC4-5D6E-409C-BE32-E72D297353CC}">
              <c16:uniqueId val="{00000001-677E-4335-A459-47E90F2C859C}"/>
            </c:ext>
          </c:extLst>
        </c:ser>
        <c:dLbls>
          <c:showLegendKey val="0"/>
          <c:showVal val="0"/>
          <c:showCatName val="0"/>
          <c:showSerName val="0"/>
          <c:showPercent val="0"/>
          <c:showBubbleSize val="0"/>
        </c:dLbls>
        <c:gapWidth val="219"/>
        <c:overlap val="-27"/>
        <c:axId val="262045487"/>
        <c:axId val="375052975"/>
      </c:barChart>
      <c:catAx>
        <c:axId val="26204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5052975"/>
        <c:crosses val="autoZero"/>
        <c:auto val="1"/>
        <c:lblAlgn val="ctr"/>
        <c:lblOffset val="100"/>
        <c:noMultiLvlLbl val="0"/>
      </c:catAx>
      <c:valAx>
        <c:axId val="37505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6204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A707-4617-9F6D-9F5B7A7EBB2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A707-4617-9F6D-9F5B7A7EBB28}"/>
            </c:ext>
          </c:extLst>
        </c:ser>
        <c:dLbls>
          <c:showLegendKey val="0"/>
          <c:showVal val="0"/>
          <c:showCatName val="0"/>
          <c:showSerName val="0"/>
          <c:showPercent val="0"/>
          <c:showBubbleSize val="0"/>
        </c:dLbls>
        <c:smooth val="0"/>
        <c:axId val="1695277935"/>
        <c:axId val="385913423"/>
      </c:lineChart>
      <c:catAx>
        <c:axId val="169527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5913423"/>
        <c:crosses val="autoZero"/>
        <c:auto val="1"/>
        <c:lblAlgn val="ctr"/>
        <c:lblOffset val="100"/>
        <c:noMultiLvlLbl val="0"/>
      </c:catAx>
      <c:valAx>
        <c:axId val="38591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52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1">
                  <c:v>20</c:v>
                </c:pt>
              </c:numCache>
            </c:numRef>
          </c:val>
          <c:smooth val="0"/>
          <c:extLst>
            <c:ext xmlns:c16="http://schemas.microsoft.com/office/drawing/2014/chart" uri="{C3380CC4-5D6E-409C-BE32-E72D297353CC}">
              <c16:uniqueId val="{00000000-E231-47F8-B68B-8B9690B42D6D}"/>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3</c:v>
                </c:pt>
                <c:pt idx="1">
                  <c:v>24</c:v>
                </c:pt>
                <c:pt idx="2">
                  <c:v>4</c:v>
                </c:pt>
              </c:numCache>
            </c:numRef>
          </c:val>
          <c:smooth val="0"/>
          <c:extLst>
            <c:ext xmlns:c16="http://schemas.microsoft.com/office/drawing/2014/chart" uri="{C3380CC4-5D6E-409C-BE32-E72D297353CC}">
              <c16:uniqueId val="{00000001-E231-47F8-B68B-8B9690B42D6D}"/>
            </c:ext>
          </c:extLst>
        </c:ser>
        <c:dLbls>
          <c:showLegendKey val="0"/>
          <c:showVal val="0"/>
          <c:showCatName val="0"/>
          <c:showSerName val="0"/>
          <c:showPercent val="0"/>
          <c:showBubbleSize val="0"/>
        </c:dLbls>
        <c:smooth val="0"/>
        <c:axId val="1661650415"/>
        <c:axId val="885263327"/>
      </c:lineChart>
      <c:catAx>
        <c:axId val="166165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5263327"/>
        <c:crosses val="autoZero"/>
        <c:auto val="1"/>
        <c:lblAlgn val="ctr"/>
        <c:lblOffset val="100"/>
        <c:noMultiLvlLbl val="0"/>
      </c:catAx>
      <c:valAx>
        <c:axId val="88526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165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80833.333333333328</c:v>
                </c:pt>
                <c:pt idx="1">
                  <c:v>72500</c:v>
                </c:pt>
              </c:numCache>
            </c:numRef>
          </c:val>
          <c:extLst>
            <c:ext xmlns:c16="http://schemas.microsoft.com/office/drawing/2014/chart" uri="{C3380CC4-5D6E-409C-BE32-E72D297353CC}">
              <c16:uniqueId val="{00000000-8DB8-486E-86CA-146DA9CB0D1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60000</c:v>
                </c:pt>
                <c:pt idx="1">
                  <c:v>66500</c:v>
                </c:pt>
              </c:numCache>
            </c:numRef>
          </c:val>
          <c:extLst>
            <c:ext xmlns:c16="http://schemas.microsoft.com/office/drawing/2014/chart" uri="{C3380CC4-5D6E-409C-BE32-E72D297353CC}">
              <c16:uniqueId val="{00000001-8DB8-486E-86CA-146DA9CB0D17}"/>
            </c:ext>
          </c:extLst>
        </c:ser>
        <c:dLbls>
          <c:showLegendKey val="0"/>
          <c:showVal val="0"/>
          <c:showCatName val="0"/>
          <c:showSerName val="0"/>
          <c:showPercent val="0"/>
          <c:showBubbleSize val="0"/>
        </c:dLbls>
        <c:gapWidth val="219"/>
        <c:overlap val="-27"/>
        <c:axId val="262045487"/>
        <c:axId val="375052975"/>
      </c:barChart>
      <c:catAx>
        <c:axId val="26204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5052975"/>
        <c:crosses val="autoZero"/>
        <c:auto val="1"/>
        <c:lblAlgn val="ctr"/>
        <c:lblOffset val="100"/>
        <c:noMultiLvlLbl val="0"/>
      </c:catAx>
      <c:valAx>
        <c:axId val="37505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62045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5E26-42E6-8B5B-5FEBEF2A46B6}"/>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5E26-42E6-8B5B-5FEBEF2A46B6}"/>
            </c:ext>
          </c:extLst>
        </c:ser>
        <c:dLbls>
          <c:showLegendKey val="0"/>
          <c:showVal val="0"/>
          <c:showCatName val="0"/>
          <c:showSerName val="0"/>
          <c:showPercent val="0"/>
          <c:showBubbleSize val="0"/>
        </c:dLbls>
        <c:smooth val="0"/>
        <c:axId val="1695277935"/>
        <c:axId val="385913423"/>
      </c:lineChart>
      <c:catAx>
        <c:axId val="1695277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5913423"/>
        <c:crosses val="autoZero"/>
        <c:auto val="1"/>
        <c:lblAlgn val="ctr"/>
        <c:lblOffset val="100"/>
        <c:noMultiLvlLbl val="0"/>
      </c:catAx>
      <c:valAx>
        <c:axId val="38591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527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Adolescent</c:v>
                </c:pt>
                <c:pt idx="1">
                  <c:v>Middle Age</c:v>
                </c:pt>
                <c:pt idx="2">
                  <c:v>Old</c:v>
                </c:pt>
              </c:strCache>
            </c:strRef>
          </c:cat>
          <c:val>
            <c:numRef>
              <c:f>'Pivot Table'!$B$41:$B$44</c:f>
              <c:numCache>
                <c:formatCode>General</c:formatCode>
                <c:ptCount val="3"/>
                <c:pt idx="1">
                  <c:v>20</c:v>
                </c:pt>
              </c:numCache>
            </c:numRef>
          </c:val>
          <c:smooth val="0"/>
          <c:extLst>
            <c:ext xmlns:c16="http://schemas.microsoft.com/office/drawing/2014/chart" uri="{C3380CC4-5D6E-409C-BE32-E72D297353CC}">
              <c16:uniqueId val="{00000000-1903-4006-A34A-0A7511B48064}"/>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Adolescent</c:v>
                </c:pt>
                <c:pt idx="1">
                  <c:v>Middle Age</c:v>
                </c:pt>
                <c:pt idx="2">
                  <c:v>Old</c:v>
                </c:pt>
              </c:strCache>
            </c:strRef>
          </c:cat>
          <c:val>
            <c:numRef>
              <c:f>'Pivot Table'!$C$41:$C$44</c:f>
              <c:numCache>
                <c:formatCode>General</c:formatCode>
                <c:ptCount val="3"/>
                <c:pt idx="0">
                  <c:v>3</c:v>
                </c:pt>
                <c:pt idx="1">
                  <c:v>24</c:v>
                </c:pt>
                <c:pt idx="2">
                  <c:v>4</c:v>
                </c:pt>
              </c:numCache>
            </c:numRef>
          </c:val>
          <c:smooth val="0"/>
          <c:extLst>
            <c:ext xmlns:c16="http://schemas.microsoft.com/office/drawing/2014/chart" uri="{C3380CC4-5D6E-409C-BE32-E72D297353CC}">
              <c16:uniqueId val="{00000001-1903-4006-A34A-0A7511B48064}"/>
            </c:ext>
          </c:extLst>
        </c:ser>
        <c:dLbls>
          <c:showLegendKey val="0"/>
          <c:showVal val="0"/>
          <c:showCatName val="0"/>
          <c:showSerName val="0"/>
          <c:showPercent val="0"/>
          <c:showBubbleSize val="0"/>
        </c:dLbls>
        <c:smooth val="0"/>
        <c:axId val="1661650415"/>
        <c:axId val="885263327"/>
      </c:lineChart>
      <c:catAx>
        <c:axId val="166165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85263327"/>
        <c:crosses val="autoZero"/>
        <c:auto val="1"/>
        <c:lblAlgn val="ctr"/>
        <c:lblOffset val="100"/>
        <c:noMultiLvlLbl val="0"/>
      </c:catAx>
      <c:valAx>
        <c:axId val="88526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165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523875</xdr:colOff>
      <xdr:row>0</xdr:row>
      <xdr:rowOff>119062</xdr:rowOff>
    </xdr:from>
    <xdr:to>
      <xdr:col>12</xdr:col>
      <xdr:colOff>219075</xdr:colOff>
      <xdr:row>15</xdr:row>
      <xdr:rowOff>4762</xdr:rowOff>
    </xdr:to>
    <xdr:graphicFrame macro="">
      <xdr:nvGraphicFramePr>
        <xdr:cNvPr id="2" name="Chart 1">
          <a:extLst>
            <a:ext uri="{FF2B5EF4-FFF2-40B4-BE49-F238E27FC236}">
              <a16:creationId xmlns:a16="http://schemas.microsoft.com/office/drawing/2014/main" id="{EECDAF49-41EF-B9AB-2FBF-6D63167A6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18</xdr:row>
      <xdr:rowOff>4762</xdr:rowOff>
    </xdr:from>
    <xdr:to>
      <xdr:col>12</xdr:col>
      <xdr:colOff>38100</xdr:colOff>
      <xdr:row>32</xdr:row>
      <xdr:rowOff>80962</xdr:rowOff>
    </xdr:to>
    <xdr:graphicFrame macro="">
      <xdr:nvGraphicFramePr>
        <xdr:cNvPr id="3" name="Chart 2">
          <a:extLst>
            <a:ext uri="{FF2B5EF4-FFF2-40B4-BE49-F238E27FC236}">
              <a16:creationId xmlns:a16="http://schemas.microsoft.com/office/drawing/2014/main" id="{D3CE2199-EB22-6CC5-516F-1C4D9ECC7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419100</xdr:colOff>
      <xdr:row>37</xdr:row>
      <xdr:rowOff>147637</xdr:rowOff>
    </xdr:from>
    <xdr:to>
      <xdr:col>12</xdr:col>
      <xdr:colOff>114300</xdr:colOff>
      <xdr:row>52</xdr:row>
      <xdr:rowOff>33337</xdr:rowOff>
    </xdr:to>
    <xdr:graphicFrame macro="">
      <xdr:nvGraphicFramePr>
        <xdr:cNvPr id="4" name="Chart 3">
          <a:extLst>
            <a:ext uri="{FF2B5EF4-FFF2-40B4-BE49-F238E27FC236}">
              <a16:creationId xmlns:a16="http://schemas.microsoft.com/office/drawing/2014/main" id="{192AFF24-B5CE-133D-10CA-298738254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466722</xdr:colOff>
      <xdr:row>6</xdr:row>
      <xdr:rowOff>11906</xdr:rowOff>
    </xdr:from>
    <xdr:to>
      <xdr:col>8</xdr:col>
      <xdr:colOff>535780</xdr:colOff>
      <xdr:row>17</xdr:row>
      <xdr:rowOff>59531</xdr:rowOff>
    </xdr:to>
    <xdr:graphicFrame macro="">
      <xdr:nvGraphicFramePr>
        <xdr:cNvPr id="2" name="Chart 1">
          <a:extLst>
            <a:ext uri="{FF2B5EF4-FFF2-40B4-BE49-F238E27FC236}">
              <a16:creationId xmlns:a16="http://schemas.microsoft.com/office/drawing/2014/main" id="{56D1162C-03D1-465E-9DE9-A5DF22CC1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461959</xdr:colOff>
      <xdr:row>17</xdr:row>
      <xdr:rowOff>61912</xdr:rowOff>
    </xdr:from>
    <xdr:to>
      <xdr:col>15</xdr:col>
      <xdr:colOff>0</xdr:colOff>
      <xdr:row>31</xdr:row>
      <xdr:rowOff>83344</xdr:rowOff>
    </xdr:to>
    <xdr:graphicFrame macro="">
      <xdr:nvGraphicFramePr>
        <xdr:cNvPr id="3" name="Chart 2">
          <a:extLst>
            <a:ext uri="{FF2B5EF4-FFF2-40B4-BE49-F238E27FC236}">
              <a16:creationId xmlns:a16="http://schemas.microsoft.com/office/drawing/2014/main" id="{238D2CB2-DB08-43B4-B6AF-6DA672210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523876</xdr:colOff>
      <xdr:row>6</xdr:row>
      <xdr:rowOff>14287</xdr:rowOff>
    </xdr:from>
    <xdr:to>
      <xdr:col>14</xdr:col>
      <xdr:colOff>602457</xdr:colOff>
      <xdr:row>17</xdr:row>
      <xdr:rowOff>59531</xdr:rowOff>
    </xdr:to>
    <xdr:graphicFrame macro="">
      <xdr:nvGraphicFramePr>
        <xdr:cNvPr id="4" name="Chart 3">
          <a:extLst>
            <a:ext uri="{FF2B5EF4-FFF2-40B4-BE49-F238E27FC236}">
              <a16:creationId xmlns:a16="http://schemas.microsoft.com/office/drawing/2014/main" id="{F1D45406-0932-4994-AA8F-4E298AA39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21431</xdr:rowOff>
    </xdr:from>
    <xdr:to>
      <xdr:col>2</xdr:col>
      <xdr:colOff>464343</xdr:colOff>
      <xdr:row>10</xdr:row>
      <xdr:rowOff>154780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4EF1F30-945E-7FC3-0A93-F0C0B9FE390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64431"/>
              <a:ext cx="1688986" cy="8953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164307</xdr:rowOff>
    </xdr:from>
    <xdr:to>
      <xdr:col>2</xdr:col>
      <xdr:colOff>452437</xdr:colOff>
      <xdr:row>25</xdr:row>
      <xdr:rowOff>95250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F6A27B1-E6B9-4219-BEEB-80D4C5B2EE0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12307"/>
              <a:ext cx="1677080" cy="16454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152400</xdr:rowOff>
    </xdr:from>
    <xdr:to>
      <xdr:col>2</xdr:col>
      <xdr:colOff>440531</xdr:colOff>
      <xdr:row>16</xdr:row>
      <xdr:rowOff>142875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9F25CA1-6715-35DF-FC4E-395C255B0A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57400"/>
              <a:ext cx="1665174" cy="11334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r. Victor Jones" refreshedDate="45132.890064236111" createdVersion="8" refreshedVersion="8" minRefreshableVersion="3" recordCount="1000" xr:uid="{4853F21D-F965-4453-A1D6-5D9F986C1416}">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39497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685DC-CB76-456A-98C2-ED758CEF23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9:D4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C5C2E-ACC6-4E7C-B213-E4ABF5EFFB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2B773-C2C0-44E7-AA70-6438DA49CB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C74939-2DB2-4C1D-9E1F-14B3A4BDF8CA}" sourceName="Marital Status">
  <pivotTables>
    <pivotTable tabId="3" name="PivotTable1"/>
    <pivotTable tabId="3" name="PivotTable2"/>
    <pivotTable tabId="3" name="PivotTable3"/>
  </pivotTables>
  <data>
    <tabular pivotCacheId="213949712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62A6ED6-A699-42A9-B187-81CFC5A230CB}" sourceName="Education">
  <pivotTables>
    <pivotTable tabId="3" name="PivotTable1"/>
    <pivotTable tabId="3" name="PivotTable2"/>
    <pivotTable tabId="3" name="PivotTable3"/>
  </pivotTables>
  <data>
    <tabular pivotCacheId="213949712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3DB66-F73E-4018-8CCB-E73568E00EC7}" sourceName="Region">
  <pivotTables>
    <pivotTable tabId="3" name="PivotTable1"/>
    <pivotTable tabId="3" name="PivotTable2"/>
    <pivotTable tabId="3" name="PivotTable3"/>
  </pivotTables>
  <data>
    <tabular pivotCacheId="213949712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9BDC3B2-0737-468A-8CCB-A1CB7C03302C}" cache="Slicer_Marital_Status" caption="Marital Status" rowHeight="241300"/>
  <slicer name="Education" xr10:uid="{F4DAE640-7E75-4EC1-8BBB-5ED47DD66CB6}" cache="Slicer_Education" caption="Education" rowHeight="241300"/>
  <slicer name="Region" xr10:uid="{A20CF4F9-780F-4AB4-8B3F-994ABBF556F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6" sqref="L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939FD-0585-489B-A252-3FC043B73B82}">
  <dimension ref="A1:N1027"/>
  <sheetViews>
    <sheetView workbookViewId="0">
      <pane ySplit="1" topLeftCell="A2" activePane="bottomLeft" state="frozen"/>
      <selection pane="bottomLeft" activeCell="H4" sqref="H4"/>
    </sheetView>
  </sheetViews>
  <sheetFormatPr defaultColWidth="11.85546875" defaultRowHeight="15" x14ac:dyDescent="0.25"/>
  <cols>
    <col min="1" max="1" width="6" bestFit="1" customWidth="1"/>
    <col min="4" max="4" width="13.140625" style="3" bestFit="1" customWidth="1"/>
    <col min="6" max="6" width="17.7109375" bestFit="1" customWidth="1"/>
    <col min="7" max="7" width="14.14062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 t="shared" ref="M2:M65" si="0">IF(L2&gt;54,"Old", IF(L2&gt;=31,"Middle Age", IF(L2&lt;31, "Adolescent","Invalid")))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si="0"/>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48</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48</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48</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48</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48</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ref="M66:M129" si="1">IF(L66&gt;54,"Old", IF(L66&gt;=31,"Middle Age", IF(L66&lt;31, "Adolescent","Invalid")))</f>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48</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48</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48</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48</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ref="M130:M193" si="2">IF(L130&gt;54,"Old", IF(L130&gt;=31,"Middle Age", IF(L130&lt;31, "Adolescent","Invalid")))</f>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48</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48</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48</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48</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48</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48</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48</v>
      </c>
      <c r="K194" t="s">
        <v>17</v>
      </c>
      <c r="L194">
        <v>62</v>
      </c>
      <c r="M194" t="str">
        <f t="shared" ref="M194:M257" si="3">IF(L194&gt;54,"Old", IF(L194&gt;=31,"Middle Age", IF(L194&lt;31, "Adolescent","Invalid")))</f>
        <v>Old</v>
      </c>
      <c r="N194" t="s">
        <v>18</v>
      </c>
    </row>
    <row r="195" spans="1:14" x14ac:dyDescent="0.25">
      <c r="A195">
        <v>26032</v>
      </c>
      <c r="B195" t="s">
        <v>36</v>
      </c>
      <c r="C195" t="s">
        <v>38</v>
      </c>
      <c r="D195" s="3">
        <v>70000</v>
      </c>
      <c r="E195">
        <v>5</v>
      </c>
      <c r="F195" t="s">
        <v>13</v>
      </c>
      <c r="G195" t="s">
        <v>21</v>
      </c>
      <c r="H195" t="s">
        <v>15</v>
      </c>
      <c r="I195">
        <v>4</v>
      </c>
      <c r="J195" t="s">
        <v>48</v>
      </c>
      <c r="K195" t="s">
        <v>24</v>
      </c>
      <c r="L195">
        <v>41</v>
      </c>
      <c r="M195" t="str">
        <f t="shared" si="3"/>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48</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48</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48</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48</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48</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48</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48</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48</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48</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48</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ref="M258:M321" si="4">IF(L258&gt;54,"Old", IF(L258&gt;=31,"Middle Age", IF(L258&lt;31, "Adolescent","Invalid")))</f>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25">
      <c r="A260">
        <v>14193</v>
      </c>
      <c r="B260" t="s">
        <v>37</v>
      </c>
      <c r="C260" t="s">
        <v>38</v>
      </c>
      <c r="D260" s="3">
        <v>100000</v>
      </c>
      <c r="E260">
        <v>3</v>
      </c>
      <c r="F260" t="s">
        <v>19</v>
      </c>
      <c r="G260" t="s">
        <v>28</v>
      </c>
      <c r="H260" t="s">
        <v>15</v>
      </c>
      <c r="I260">
        <v>4</v>
      </c>
      <c r="J260" t="s">
        <v>48</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48</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48</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48</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48</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ref="M322:M385" si="5">IF(L322&gt;54,"Old", IF(L322&gt;=31,"Middle Age", IF(L322&lt;31, "Adolescent","Invalid")))</f>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48</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48</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48</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48</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48</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48</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48</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ref="M386:M449" si="6">IF(L386&gt;54,"Old", IF(L386&gt;=31,"Middle Age", IF(L386&lt;31, "Adolescent","Invalid")))</f>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25">
      <c r="A388">
        <v>28957</v>
      </c>
      <c r="B388" t="s">
        <v>37</v>
      </c>
      <c r="C388" t="s">
        <v>38</v>
      </c>
      <c r="D388" s="3">
        <v>120000</v>
      </c>
      <c r="E388">
        <v>0</v>
      </c>
      <c r="F388" t="s">
        <v>29</v>
      </c>
      <c r="G388" t="s">
        <v>21</v>
      </c>
      <c r="H388" t="s">
        <v>15</v>
      </c>
      <c r="I388">
        <v>4</v>
      </c>
      <c r="J388" t="s">
        <v>48</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48</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48</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48</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48</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48</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48</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ref="M450:M513" si="7">IF(L450&gt;54,"Old", IF(L450&gt;=31,"Middle Age", IF(L450&lt;31, "Adolescent","Invalid")))</f>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48</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48</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48</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48</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48</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ref="M514:M577" si="8">IF(L514&gt;54,"Old", IF(L514&gt;=31,"Middle Age", IF(L514&lt;31, "Adolescent","Invalid")))</f>
        <v>Middle Age</v>
      </c>
      <c r="N514" t="s">
        <v>15</v>
      </c>
    </row>
    <row r="515" spans="1:14" x14ac:dyDescent="0.25">
      <c r="A515">
        <v>13353</v>
      </c>
      <c r="B515" t="s">
        <v>37</v>
      </c>
      <c r="C515" t="s">
        <v>38</v>
      </c>
      <c r="D515" s="3">
        <v>60000</v>
      </c>
      <c r="E515">
        <v>4</v>
      </c>
      <c r="F515" t="s">
        <v>31</v>
      </c>
      <c r="G515" t="s">
        <v>28</v>
      </c>
      <c r="H515" t="s">
        <v>15</v>
      </c>
      <c r="I515">
        <v>2</v>
      </c>
      <c r="J515" t="s">
        <v>48</v>
      </c>
      <c r="K515" t="s">
        <v>32</v>
      </c>
      <c r="L515">
        <v>61</v>
      </c>
      <c r="M515" t="str">
        <f t="shared" si="8"/>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48</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48</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48</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48</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48</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48</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48</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48</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48</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48</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48</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ref="M578:M641" si="9">IF(L578&gt;54,"Old", IF(L578&gt;=31,"Middle Age", IF(L578&lt;31, "Adolescent","Invalid")))</f>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48</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48</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48</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48</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48</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48</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ref="M642:M705" si="10">IF(L642&gt;54,"Old", IF(L642&gt;=31,"Middle Age", IF(L642&lt;31, "Adolescent","Invalid")))</f>
        <v>Old</v>
      </c>
      <c r="N642" t="s">
        <v>15</v>
      </c>
    </row>
    <row r="643" spans="1:14" x14ac:dyDescent="0.25">
      <c r="A643">
        <v>21441</v>
      </c>
      <c r="B643" t="s">
        <v>36</v>
      </c>
      <c r="C643" t="s">
        <v>39</v>
      </c>
      <c r="D643" s="3">
        <v>50000</v>
      </c>
      <c r="E643">
        <v>4</v>
      </c>
      <c r="F643" t="s">
        <v>13</v>
      </c>
      <c r="G643" t="s">
        <v>28</v>
      </c>
      <c r="H643" t="s">
        <v>15</v>
      </c>
      <c r="I643">
        <v>2</v>
      </c>
      <c r="J643" t="s">
        <v>48</v>
      </c>
      <c r="K643" t="s">
        <v>32</v>
      </c>
      <c r="L643">
        <v>64</v>
      </c>
      <c r="M643" t="str">
        <f t="shared" si="10"/>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48</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48</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48</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48</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48</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48</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ref="M706:M769" si="11">IF(L706&gt;54,"Old", IF(L706&gt;=31,"Middle Age", IF(L706&lt;31, "Adolescent","Invalid")))</f>
        <v>Middle Age</v>
      </c>
      <c r="N706" t="s">
        <v>15</v>
      </c>
    </row>
    <row r="707" spans="1:14" x14ac:dyDescent="0.25">
      <c r="A707">
        <v>11199</v>
      </c>
      <c r="B707" t="s">
        <v>36</v>
      </c>
      <c r="C707" t="s">
        <v>38</v>
      </c>
      <c r="D707" s="3">
        <v>70000</v>
      </c>
      <c r="E707">
        <v>4</v>
      </c>
      <c r="F707" t="s">
        <v>13</v>
      </c>
      <c r="G707" t="s">
        <v>28</v>
      </c>
      <c r="H707" t="s">
        <v>15</v>
      </c>
      <c r="I707">
        <v>1</v>
      </c>
      <c r="J707" t="s">
        <v>48</v>
      </c>
      <c r="K707" t="s">
        <v>32</v>
      </c>
      <c r="L707">
        <v>59</v>
      </c>
      <c r="M707" t="str">
        <f t="shared" si="11"/>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48</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48</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48</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48</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48</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48</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48</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48</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ref="M770:M833" si="12">IF(L770&gt;54,"Old", IF(L770&gt;=31,"Middle Age", IF(L770&lt;31, "Adolescent","Invalid")))</f>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48</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48</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48</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48</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ref="M834:M897" si="13">IF(L834&gt;54,"Old", IF(L834&gt;=31,"Middle Age", IF(L834&lt;31, "Adolescent","Invalid")))</f>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48</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48</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48</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48</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48</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ref="M898:M961" si="14">IF(L898&gt;54,"Old", IF(L898&gt;=31,"Middle Age", IF(L898&lt;31, "Adolescent","Invalid")))</f>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25">
      <c r="A900">
        <v>18066</v>
      </c>
      <c r="B900" t="s">
        <v>37</v>
      </c>
      <c r="C900" t="s">
        <v>39</v>
      </c>
      <c r="D900" s="3">
        <v>70000</v>
      </c>
      <c r="E900">
        <v>5</v>
      </c>
      <c r="F900" t="s">
        <v>13</v>
      </c>
      <c r="G900" t="s">
        <v>28</v>
      </c>
      <c r="H900" t="s">
        <v>15</v>
      </c>
      <c r="I900">
        <v>3</v>
      </c>
      <c r="J900" t="s">
        <v>48</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48</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48</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48</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48</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48</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48</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48</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ref="M962:M1001" si="15">IF(L962&gt;54,"Old", IF(L962&gt;=31,"Middle Age", IF(L962&lt;31, "Adolescent","Invalid")))</f>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25">
      <c r="A964">
        <v>16813</v>
      </c>
      <c r="B964" t="s">
        <v>36</v>
      </c>
      <c r="C964" t="s">
        <v>39</v>
      </c>
      <c r="D964" s="3">
        <v>60000</v>
      </c>
      <c r="E964">
        <v>2</v>
      </c>
      <c r="F964" t="s">
        <v>19</v>
      </c>
      <c r="G964" t="s">
        <v>21</v>
      </c>
      <c r="H964" t="s">
        <v>15</v>
      </c>
      <c r="I964">
        <v>2</v>
      </c>
      <c r="J964" t="s">
        <v>48</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48</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48</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48</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48</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48</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48</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48</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48</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1" xr:uid="{8E7939FD-0585-489B-A252-3FC043B73B8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9134-EBE2-4715-B49F-F63C62E184AA}">
  <dimension ref="A3:D44"/>
  <sheetViews>
    <sheetView zoomScaleNormal="100" workbookViewId="0">
      <selection activeCell="D9" sqref="D9"/>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80833.333333333328</v>
      </c>
      <c r="C5" s="6">
        <v>60000</v>
      </c>
      <c r="D5" s="6">
        <v>70869.565217391311</v>
      </c>
    </row>
    <row r="6" spans="1:4" x14ac:dyDescent="0.25">
      <c r="A6" s="5" t="s">
        <v>39</v>
      </c>
      <c r="B6" s="6">
        <v>72500</v>
      </c>
      <c r="C6" s="6">
        <v>66500</v>
      </c>
      <c r="D6" s="6">
        <v>68214.28571428571</v>
      </c>
    </row>
    <row r="7" spans="1:4" x14ac:dyDescent="0.25">
      <c r="A7" s="5" t="s">
        <v>42</v>
      </c>
      <c r="B7" s="6">
        <v>77500</v>
      </c>
      <c r="C7" s="6">
        <v>64193.548387096773</v>
      </c>
      <c r="D7" s="6">
        <v>69411.76470588235</v>
      </c>
    </row>
    <row r="19" spans="1:4" x14ac:dyDescent="0.25">
      <c r="A19" s="4" t="s">
        <v>49</v>
      </c>
      <c r="B19" s="4" t="s">
        <v>44</v>
      </c>
    </row>
    <row r="20" spans="1:4" x14ac:dyDescent="0.25">
      <c r="A20" s="4" t="s">
        <v>41</v>
      </c>
      <c r="B20" t="s">
        <v>18</v>
      </c>
      <c r="C20" t="s">
        <v>15</v>
      </c>
      <c r="D20" t="s">
        <v>42</v>
      </c>
    </row>
    <row r="21" spans="1:4" x14ac:dyDescent="0.25">
      <c r="A21" s="5" t="s">
        <v>16</v>
      </c>
      <c r="B21" s="9">
        <v>1</v>
      </c>
      <c r="C21" s="9">
        <v>10</v>
      </c>
      <c r="D21" s="9">
        <v>11</v>
      </c>
    </row>
    <row r="22" spans="1:4" x14ac:dyDescent="0.25">
      <c r="A22" s="5" t="s">
        <v>26</v>
      </c>
      <c r="B22" s="9">
        <v>1</v>
      </c>
      <c r="C22" s="9"/>
      <c r="D22" s="9">
        <v>1</v>
      </c>
    </row>
    <row r="23" spans="1:4" x14ac:dyDescent="0.25">
      <c r="A23" s="5" t="s">
        <v>22</v>
      </c>
      <c r="B23" s="9">
        <v>3</v>
      </c>
      <c r="C23" s="9">
        <v>3</v>
      </c>
      <c r="D23" s="9">
        <v>6</v>
      </c>
    </row>
    <row r="24" spans="1:4" x14ac:dyDescent="0.25">
      <c r="A24" s="5" t="s">
        <v>23</v>
      </c>
      <c r="B24" s="9">
        <v>5</v>
      </c>
      <c r="C24" s="9">
        <v>13</v>
      </c>
      <c r="D24" s="9">
        <v>18</v>
      </c>
    </row>
    <row r="25" spans="1:4" x14ac:dyDescent="0.25">
      <c r="A25" s="5" t="s">
        <v>48</v>
      </c>
      <c r="B25" s="9">
        <v>10</v>
      </c>
      <c r="C25" s="9">
        <v>5</v>
      </c>
      <c r="D25" s="9">
        <v>15</v>
      </c>
    </row>
    <row r="26" spans="1:4" x14ac:dyDescent="0.25">
      <c r="A26" s="5" t="s">
        <v>42</v>
      </c>
      <c r="B26" s="9">
        <v>20</v>
      </c>
      <c r="C26" s="9">
        <v>31</v>
      </c>
      <c r="D26" s="9">
        <v>51</v>
      </c>
    </row>
    <row r="39" spans="1:4" x14ac:dyDescent="0.25">
      <c r="A39" s="4" t="s">
        <v>49</v>
      </c>
      <c r="B39" s="4" t="s">
        <v>44</v>
      </c>
    </row>
    <row r="40" spans="1:4" x14ac:dyDescent="0.25">
      <c r="A40" s="4" t="s">
        <v>41</v>
      </c>
      <c r="B40" t="s">
        <v>18</v>
      </c>
      <c r="C40" t="s">
        <v>15</v>
      </c>
      <c r="D40" t="s">
        <v>42</v>
      </c>
    </row>
    <row r="41" spans="1:4" x14ac:dyDescent="0.25">
      <c r="A41" s="5" t="s">
        <v>46</v>
      </c>
      <c r="B41" s="9"/>
      <c r="C41" s="9">
        <v>3</v>
      </c>
      <c r="D41" s="9">
        <v>3</v>
      </c>
    </row>
    <row r="42" spans="1:4" x14ac:dyDescent="0.25">
      <c r="A42" s="5" t="s">
        <v>45</v>
      </c>
      <c r="B42" s="9">
        <v>20</v>
      </c>
      <c r="C42" s="9">
        <v>24</v>
      </c>
      <c r="D42" s="9">
        <v>44</v>
      </c>
    </row>
    <row r="43" spans="1:4" x14ac:dyDescent="0.25">
      <c r="A43" s="5" t="s">
        <v>47</v>
      </c>
      <c r="B43" s="9"/>
      <c r="C43" s="9">
        <v>4</v>
      </c>
      <c r="D43" s="9">
        <v>4</v>
      </c>
    </row>
    <row r="44" spans="1:4" x14ac:dyDescent="0.25">
      <c r="A44" s="5" t="s">
        <v>42</v>
      </c>
      <c r="B44" s="9">
        <v>20</v>
      </c>
      <c r="C44" s="9">
        <v>31</v>
      </c>
      <c r="D44" s="9">
        <v>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30EE-2CEC-4682-B838-8CF653C5A85B}">
  <dimension ref="A1:O6"/>
  <sheetViews>
    <sheetView showGridLines="0" tabSelected="1" topLeftCell="A2" zoomScale="70" zoomScaleNormal="70" workbookViewId="0">
      <selection activeCell="Q21" sqref="Q21"/>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Engr. Victor Jones</dc:creator>
  <cp:lastModifiedBy>Victor Egbujo</cp:lastModifiedBy>
  <dcterms:created xsi:type="dcterms:W3CDTF">2022-03-18T02:50:57Z</dcterms:created>
  <dcterms:modified xsi:type="dcterms:W3CDTF">2023-12-20T23:18:24Z</dcterms:modified>
</cp:coreProperties>
</file>